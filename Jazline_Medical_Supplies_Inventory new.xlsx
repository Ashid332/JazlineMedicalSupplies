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nostic Equipment" sheetId="1" state="visible" r:id="rId3"/>
    <sheet name="Hospital Furniture" sheetId="2" state="visible" r:id="rId4"/>
    <sheet name="Procurement Plan" sheetId="3" state="visible" r:id="rId5"/>
    <sheet name="Consumables Managemen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<sst xmlns="http://schemas.openxmlformats.org/spreadsheetml/2006/main" count="272" uniqueCount="207">
  <si>
    <t xml:space="preserve">JAZLINE MEDICAL SUPPLIES — DIAGNOSTIC &amp; MONITORING EQUIPMENT INVENTORY</t>
  </si>
  <si>
    <t xml:space="preserve">Inventory Period: FY 2026 Q1 | Updated: February 2026</t>
  </si>
  <si>
    <t xml:space="preserve">Product Code</t>
  </si>
  <si>
    <t xml:space="preserve">Product Name</t>
  </si>
  <si>
    <t xml:space="preserve">Category</t>
  </si>
  <si>
    <t xml:space="preserve">Procurement Source</t>
  </si>
  <si>
    <t xml:space="preserve">Unit Cost (₹)</t>
  </si>
  <si>
    <t xml:space="preserve">Min Stock</t>
  </si>
  <si>
    <t xml:space="preserve">Reorder Point</t>
  </si>
  <si>
    <t xml:space="preserve">Current Stock</t>
  </si>
  <si>
    <t xml:space="preserve">Stock Value (₹)</t>
  </si>
  <si>
    <t xml:space="preserve">Reorder Qty</t>
  </si>
  <si>
    <t xml:space="preserve">Lead Time (Days)</t>
  </si>
  <si>
    <t xml:space="preserve">Annual Demand</t>
  </si>
  <si>
    <t xml:space="preserve">DX-001</t>
  </si>
  <si>
    <t xml:space="preserve">AED / Defibrillator</t>
  </si>
  <si>
    <t xml:space="preserve">Capital Equipment</t>
  </si>
  <si>
    <t xml:space="preserve">Medikabazaar (Refurb)</t>
  </si>
  <si>
    <t xml:space="preserve">DX-002</t>
  </si>
  <si>
    <t xml:space="preserve">ECG Machine (3-Ch)</t>
  </si>
  <si>
    <t xml:space="preserve">AknaMed B2B</t>
  </si>
  <si>
    <t xml:space="preserve">DX-003</t>
  </si>
  <si>
    <t xml:space="preserve">ECG Machine (12-Ch)</t>
  </si>
  <si>
    <t xml:space="preserve">DX-004</t>
  </si>
  <si>
    <t xml:space="preserve">Patient Monitor (Basic)</t>
  </si>
  <si>
    <t xml:space="preserve">Low-Cost Competitor</t>
  </si>
  <si>
    <t xml:space="preserve">DX-005</t>
  </si>
  <si>
    <t xml:space="preserve">Patient Monitor (Advanced)</t>
  </si>
  <si>
    <t xml:space="preserve">DX-006</t>
  </si>
  <si>
    <t xml:space="preserve">Stethoscope (Premium)</t>
  </si>
  <si>
    <t xml:space="preserve">Instrument</t>
  </si>
  <si>
    <t xml:space="preserve">Medikabazaar</t>
  </si>
  <si>
    <t xml:space="preserve">DX-007</t>
  </si>
  <si>
    <t xml:space="preserve">Stethoscope (Standard)</t>
  </si>
  <si>
    <t xml:space="preserve">DX-008</t>
  </si>
  <si>
    <t xml:space="preserve">Pulse Oximeter</t>
  </si>
  <si>
    <t xml:space="preserve">DX-009</t>
  </si>
  <si>
    <t xml:space="preserve">Glucose Monitor</t>
  </si>
  <si>
    <t xml:space="preserve">DX-010</t>
  </si>
  <si>
    <t xml:space="preserve">ECG Electrodes (Pack)</t>
  </si>
  <si>
    <t xml:space="preserve">Consumable</t>
  </si>
  <si>
    <t xml:space="preserve">TOTAL INVENTORY VALUE</t>
  </si>
  <si>
    <t xml:space="preserve">JAZLINE MEDICAL SUPPLIES — HOSPITAL FURNITURE &amp; PHYSIOTHERAPY INVENTORY</t>
  </si>
  <si>
    <t xml:space="preserve">HF-001</t>
  </si>
  <si>
    <t xml:space="preserve">Electric ICU Bed</t>
  </si>
  <si>
    <t xml:space="preserve">HF-002</t>
  </si>
  <si>
    <t xml:space="preserve">Semi-Fowler Bed</t>
  </si>
  <si>
    <t xml:space="preserve">HF-003</t>
  </si>
  <si>
    <t xml:space="preserve">Wheelchair (Manual)</t>
  </si>
  <si>
    <t xml:space="preserve">Mobility Aid</t>
  </si>
  <si>
    <t xml:space="preserve">HF-004</t>
  </si>
  <si>
    <t xml:space="preserve">Commode Chair</t>
  </si>
  <si>
    <t xml:space="preserve">HF-005</t>
  </si>
  <si>
    <t xml:space="preserve">Crutches (Pair)</t>
  </si>
  <si>
    <t xml:space="preserve">HF-006</t>
  </si>
  <si>
    <t xml:space="preserve">Walking Frame</t>
  </si>
  <si>
    <t xml:space="preserve">HF-007</t>
  </si>
  <si>
    <t xml:space="preserve">Physio Equip (IFT/US)</t>
  </si>
  <si>
    <t xml:space="preserve">Physiotherapy</t>
  </si>
  <si>
    <t xml:space="preserve">JAZLINE MEDICAL SUPPLIES — QUARTERLY PROCUREMENT PLAN &amp; COST PROJECTIONS</t>
  </si>
  <si>
    <t xml:space="preserve">FY 2026 | Prepared by CEO Office | Updated: February 2026</t>
  </si>
  <si>
    <t xml:space="preserve">KEY ASSUMPTIONS</t>
  </si>
  <si>
    <t xml:space="preserve">Buffer Stock Policy</t>
  </si>
  <si>
    <t xml:space="preserve">20% above reorder point</t>
  </si>
  <si>
    <t xml:space="preserve">Lead Time Contingency</t>
  </si>
  <si>
    <t xml:space="preserve">3 days added to supplier lead time</t>
  </si>
  <si>
    <t xml:space="preserve">Supplier Payment Terms</t>
  </si>
  <si>
    <t xml:space="preserve">Net 30 days</t>
  </si>
  <si>
    <t xml:space="preserve">Annual Inventory Turnover Target</t>
  </si>
  <si>
    <t xml:space="preserve">8x (consumables-heavy)</t>
  </si>
  <si>
    <t xml:space="preserve">Safety Stock Coverage</t>
  </si>
  <si>
    <t xml:space="preserve">30 days</t>
  </si>
  <si>
    <t xml:space="preserve">QUARTERLY PROCUREMENT BUDGET (FY 2026)</t>
  </si>
  <si>
    <t xml:space="preserve">Q1 Budget (₹)</t>
  </si>
  <si>
    <t xml:space="preserve">Q2 Budget (₹)</t>
  </si>
  <si>
    <t xml:space="preserve">Q3 Budget (₹)</t>
  </si>
  <si>
    <t xml:space="preserve">Q4 Budget (₹)</t>
  </si>
  <si>
    <t xml:space="preserve">Total Annual (₹)</t>
  </si>
  <si>
    <t xml:space="preserve">% of Total</t>
  </si>
  <si>
    <t xml:space="preserve">Instruments</t>
  </si>
  <si>
    <t xml:space="preserve">Consumables (EXPANDED)</t>
  </si>
  <si>
    <t xml:space="preserve">Mobility Aids</t>
  </si>
  <si>
    <t xml:space="preserve">Physiotherapy Equipment</t>
  </si>
  <si>
    <t xml:space="preserve">TOTAL BUDGET</t>
  </si>
  <si>
    <t xml:space="preserve">SUPPLIER ALLOCATION STRATEGY</t>
  </si>
  <si>
    <t xml:space="preserve">Supplier</t>
  </si>
  <si>
    <t xml:space="preserve">Product Categories</t>
  </si>
  <si>
    <t xml:space="preserve">Annual Volume (₹)</t>
  </si>
  <si>
    <t xml:space="preserve">Payment Terms</t>
  </si>
  <si>
    <t xml:space="preserve">Lead Time</t>
  </si>
  <si>
    <t xml:space="preserve">Capital Equipment, Physio</t>
  </si>
  <si>
    <t xml:space="preserve">Net 30</t>
  </si>
  <si>
    <t xml:space="preserve">12-15 days</t>
  </si>
  <si>
    <t xml:space="preserve">All Categories</t>
  </si>
  <si>
    <t xml:space="preserve">7-12 days</t>
  </si>
  <si>
    <t xml:space="preserve">Low-Cost Competitors</t>
  </si>
  <si>
    <t xml:space="preserve">Basic Instruments</t>
  </si>
  <si>
    <t xml:space="preserve">Net 15</t>
  </si>
  <si>
    <t xml:space="preserve">5-7 days</t>
  </si>
  <si>
    <t xml:space="preserve">TOTAL ANNUAL PROCUREMENT</t>
  </si>
  <si>
    <t xml:space="preserve">JAZLINE MEDICAL SUPPLIES — COMPREHENSIVE CONSUMABLES INVENTORY</t>
  </si>
  <si>
    <t xml:space="preserve">35 High-Volume SKUs | Daily Monitoring Required | Updated: February 2026</t>
  </si>
  <si>
    <t xml:space="preserve">Pack Size</t>
  </si>
  <si>
    <t xml:space="preserve">Min Stock (Packs)</t>
  </si>
  <si>
    <t xml:space="preserve">Daily Usage Rate</t>
  </si>
  <si>
    <t xml:space="preserve">Days to Stockout</t>
  </si>
  <si>
    <t xml:space="preserve">Monthly Burn Rate (₹)</t>
  </si>
  <si>
    <t xml:space="preserve">Reorder Trigger</t>
  </si>
  <si>
    <t xml:space="preserve">CS-001</t>
  </si>
  <si>
    <t xml:space="preserve">ECG Electrodes</t>
  </si>
  <si>
    <t xml:space="preserve">100 pcs</t>
  </si>
  <si>
    <t xml:space="preserve">CS-002</t>
  </si>
  <si>
    <t xml:space="preserve">Surgical Gloves (Sterile)</t>
  </si>
  <si>
    <t xml:space="preserve">100 pairs</t>
  </si>
  <si>
    <t xml:space="preserve">CS-003</t>
  </si>
  <si>
    <t xml:space="preserve">Exam Gloves (Non-Sterile)</t>
  </si>
  <si>
    <t xml:space="preserve">CS-004</t>
  </si>
  <si>
    <t xml:space="preserve">Face Masks (3-Ply)</t>
  </si>
  <si>
    <t xml:space="preserve">50 pcs</t>
  </si>
  <si>
    <t xml:space="preserve">CS-005</t>
  </si>
  <si>
    <t xml:space="preserve">N95 Masks</t>
  </si>
  <si>
    <t xml:space="preserve">20 pcs</t>
  </si>
  <si>
    <t xml:space="preserve">CS-006</t>
  </si>
  <si>
    <t xml:space="preserve">Syringes 3ml</t>
  </si>
  <si>
    <t xml:space="preserve">CS-007</t>
  </si>
  <si>
    <t xml:space="preserve">Syringes 5ml</t>
  </si>
  <si>
    <t xml:space="preserve">CS-008</t>
  </si>
  <si>
    <t xml:space="preserve">Syringes 10ml</t>
  </si>
  <si>
    <t xml:space="preserve">CS-009</t>
  </si>
  <si>
    <t xml:space="preserve">IV Cannula 20G</t>
  </si>
  <si>
    <t xml:space="preserve">CS-010</t>
  </si>
  <si>
    <t xml:space="preserve">IV Cannula 22G</t>
  </si>
  <si>
    <t xml:space="preserve">CS-011</t>
  </si>
  <si>
    <t xml:space="preserve">Bandages (Crepe)</t>
  </si>
  <si>
    <t xml:space="preserve">1 roll</t>
  </si>
  <si>
    <t xml:space="preserve">CS-012</t>
  </si>
  <si>
    <t xml:space="preserve">Gauze Pads 4x4</t>
  </si>
  <si>
    <t xml:space="preserve">CS-013</t>
  </si>
  <si>
    <t xml:space="preserve">Gauze Swabs Sterile</t>
  </si>
  <si>
    <t xml:space="preserve">CS-014</t>
  </si>
  <si>
    <t xml:space="preserve">Alcohol Swabs</t>
  </si>
  <si>
    <t xml:space="preserve">200 pcs</t>
  </si>
  <si>
    <t xml:space="preserve">CS-015</t>
  </si>
  <si>
    <t xml:space="preserve">Cotton Rolls</t>
  </si>
  <si>
    <t xml:space="preserve">500 gm</t>
  </si>
  <si>
    <t xml:space="preserve">CS-016</t>
  </si>
  <si>
    <t xml:space="preserve">Surgical Tape 1 inch</t>
  </si>
  <si>
    <t xml:space="preserve">CS-017</t>
  </si>
  <si>
    <t xml:space="preserve">Adhesive Bandages</t>
  </si>
  <si>
    <t xml:space="preserve">CS-018</t>
  </si>
  <si>
    <t xml:space="preserve">IV Sets (Infusion)</t>
  </si>
  <si>
    <t xml:space="preserve">1 set</t>
  </si>
  <si>
    <t xml:space="preserve">CS-019</t>
  </si>
  <si>
    <t xml:space="preserve">Blood Collection Tubes</t>
  </si>
  <si>
    <t xml:space="preserve">1 tube</t>
  </si>
  <si>
    <t xml:space="preserve">CS-020</t>
  </si>
  <si>
    <t xml:space="preserve">Needles 22G</t>
  </si>
  <si>
    <t xml:space="preserve">1 needle</t>
  </si>
  <si>
    <t xml:space="preserve">CS-021</t>
  </si>
  <si>
    <t xml:space="preserve">Needles 24G</t>
  </si>
  <si>
    <t xml:space="preserve">CS-022</t>
  </si>
  <si>
    <t xml:space="preserve">Butterfly Needles</t>
  </si>
  <si>
    <t xml:space="preserve">CS-023</t>
  </si>
  <si>
    <t xml:space="preserve">Surgical Caps</t>
  </si>
  <si>
    <t xml:space="preserve">1 cap</t>
  </si>
  <si>
    <t xml:space="preserve">CS-024</t>
  </si>
  <si>
    <t xml:space="preserve">Shoe Covers</t>
  </si>
  <si>
    <t xml:space="preserve">1 pair</t>
  </si>
  <si>
    <t xml:space="preserve">CS-025</t>
  </si>
  <si>
    <t xml:space="preserve">Surgical Gowns</t>
  </si>
  <si>
    <t xml:space="preserve">1 gown</t>
  </si>
  <si>
    <t xml:space="preserve">CS-026</t>
  </si>
  <si>
    <t xml:space="preserve">Hand Sanitizer 500ml</t>
  </si>
  <si>
    <t xml:space="preserve">1 bottle</t>
  </si>
  <si>
    <t xml:space="preserve">CS-027</t>
  </si>
  <si>
    <t xml:space="preserve">Disinfectant Spray</t>
  </si>
  <si>
    <t xml:space="preserve">CS-028</t>
  </si>
  <si>
    <t xml:space="preserve">Urine Collection Containers</t>
  </si>
  <si>
    <t xml:space="preserve">1 container</t>
  </si>
  <si>
    <t xml:space="preserve">CS-029</t>
  </si>
  <si>
    <t xml:space="preserve">Glucose Test Strips</t>
  </si>
  <si>
    <t xml:space="preserve">1 strip</t>
  </si>
  <si>
    <t xml:space="preserve">CS-030</t>
  </si>
  <si>
    <t xml:space="preserve">Pregnancy Test Kits</t>
  </si>
  <si>
    <t xml:space="preserve">1 kit</t>
  </si>
  <si>
    <t xml:space="preserve">CS-031</t>
  </si>
  <si>
    <t xml:space="preserve">Rapid Antigen Test</t>
  </si>
  <si>
    <t xml:space="preserve">CS-032</t>
  </si>
  <si>
    <t xml:space="preserve">Oxygen Masks</t>
  </si>
  <si>
    <t xml:space="preserve">1 mask</t>
  </si>
  <si>
    <t xml:space="preserve">CS-033</t>
  </si>
  <si>
    <t xml:space="preserve">Nebulizer Masks</t>
  </si>
  <si>
    <t xml:space="preserve">CS-034</t>
  </si>
  <si>
    <t xml:space="preserve">Tongue Depressors</t>
  </si>
  <si>
    <t xml:space="preserve">1 piece</t>
  </si>
  <si>
    <t xml:space="preserve">CS-035</t>
  </si>
  <si>
    <t xml:space="preserve">Sharps Disposal Box</t>
  </si>
  <si>
    <t xml:space="preserve">1 box</t>
  </si>
  <si>
    <t xml:space="preserve">WOUND CARE &amp; STERILE SUPPLIES SUBTOTAL</t>
  </si>
  <si>
    <t xml:space="preserve">IV &amp; INJECTION SUPPLIES SUBTOTAL</t>
  </si>
  <si>
    <t xml:space="preserve">PPE &amp; HYGIENE SUBTOTAL</t>
  </si>
  <si>
    <t xml:space="preserve">DIAGNOSTIC &amp; SPECIMEN SUBTOTAL</t>
  </si>
  <si>
    <t xml:space="preserve">RESPIRATORY &amp; OTHERS SUBTOTAL</t>
  </si>
  <si>
    <t xml:space="preserve">CONSUMABLES GRAND SUMMARY</t>
  </si>
  <si>
    <t xml:space="preserve">Total Monthly Burn Rate (35 SKUs):</t>
  </si>
  <si>
    <t xml:space="preserve">Recommended Monthly Budget (with 20% buffer):</t>
  </si>
  <si>
    <t xml:space="preserve">Projected Annual Consumables Spend: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</si>
</sst>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0.0%"/>
    <numFmt numFmtId="167" formatCode="0.0"/>
    <numFmt numFmtId="168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C6E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1A3C6E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E85D04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i val="true"/>
      <sz val="9"/>
      <color rgb="FF1A3C6E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1A3C6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F5F7FA"/>
        <bgColor rgb="FFEBF3FB"/>
      </patternFill>
    </fill>
    <fill>
      <patternFill patternType="solid">
        <fgColor rgb="FFFFFF00"/>
        <bgColor rgb="FFFFFF00"/>
      </patternFill>
    </fill>
    <fill>
      <patternFill patternType="solid">
        <fgColor rgb="FFEBF3FB"/>
        <bgColor rgb="FFF5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7FA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D04"/>
      <rgbColor rgb="FF666666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5" t="n">
        <v>75000</v>
      </c>
      <c r="F5" s="6" t="n">
        <v>2</v>
      </c>
      <c r="G5" s="6" t="n">
        <v>3</v>
      </c>
      <c r="H5" s="7" t="n">
        <v>5</v>
      </c>
      <c r="I5" s="7" t="n">
        <f aca="false">E5*H5</f>
        <v>375000</v>
      </c>
      <c r="J5" s="7" t="n">
        <f aca="false">F5*2</f>
        <v>4</v>
      </c>
      <c r="K5" s="6" t="n">
        <v>15</v>
      </c>
      <c r="L5" s="6" t="n">
        <v>12</v>
      </c>
    </row>
    <row r="6" customFormat="false" ht="15" hidden="false" customHeight="false" outlineLevel="0" collapsed="false">
      <c r="A6" s="8" t="s">
        <v>18</v>
      </c>
      <c r="B6" s="8" t="s">
        <v>19</v>
      </c>
      <c r="C6" s="8" t="s">
        <v>16</v>
      </c>
      <c r="D6" s="8" t="s">
        <v>20</v>
      </c>
      <c r="E6" s="9" t="n">
        <v>32500</v>
      </c>
      <c r="F6" s="10" t="n">
        <v>3</v>
      </c>
      <c r="G6" s="10" t="n">
        <v>5</v>
      </c>
      <c r="H6" s="11" t="n">
        <v>8</v>
      </c>
      <c r="I6" s="11" t="n">
        <f aca="false">E6*H6</f>
        <v>260000</v>
      </c>
      <c r="J6" s="11" t="n">
        <f aca="false">F6*2</f>
        <v>6</v>
      </c>
      <c r="K6" s="10" t="n">
        <v>10</v>
      </c>
      <c r="L6" s="10" t="n">
        <v>24</v>
      </c>
    </row>
    <row r="7" customFormat="false" ht="15" hidden="false" customHeight="false" outlineLevel="0" collapsed="false">
      <c r="A7" s="4" t="s">
        <v>21</v>
      </c>
      <c r="B7" s="4" t="s">
        <v>22</v>
      </c>
      <c r="C7" s="4" t="s">
        <v>16</v>
      </c>
      <c r="D7" s="4" t="s">
        <v>17</v>
      </c>
      <c r="E7" s="5" t="n">
        <v>55000</v>
      </c>
      <c r="F7" s="6" t="n">
        <v>2</v>
      </c>
      <c r="G7" s="6" t="n">
        <v>3</v>
      </c>
      <c r="H7" s="7" t="n">
        <v>4</v>
      </c>
      <c r="I7" s="7" t="n">
        <f aca="false">E7*H7</f>
        <v>220000</v>
      </c>
      <c r="J7" s="7" t="n">
        <f aca="false">F7*2</f>
        <v>4</v>
      </c>
      <c r="K7" s="6" t="n">
        <v>15</v>
      </c>
      <c r="L7" s="6" t="n">
        <v>10</v>
      </c>
    </row>
    <row r="8" customFormat="false" ht="15" hidden="false" customHeight="false" outlineLevel="0" collapsed="false">
      <c r="A8" s="8" t="s">
        <v>23</v>
      </c>
      <c r="B8" s="8" t="s">
        <v>24</v>
      </c>
      <c r="C8" s="8" t="s">
        <v>16</v>
      </c>
      <c r="D8" s="8" t="s">
        <v>25</v>
      </c>
      <c r="E8" s="9" t="n">
        <v>12199</v>
      </c>
      <c r="F8" s="10" t="n">
        <v>5</v>
      </c>
      <c r="G8" s="10" t="n">
        <v>8</v>
      </c>
      <c r="H8" s="11" t="n">
        <v>12</v>
      </c>
      <c r="I8" s="11" t="n">
        <f aca="false">E8*H8</f>
        <v>146388</v>
      </c>
      <c r="J8" s="11" t="n">
        <f aca="false">F8*2</f>
        <v>10</v>
      </c>
      <c r="K8" s="10" t="n">
        <v>7</v>
      </c>
      <c r="L8" s="10" t="n">
        <v>36</v>
      </c>
    </row>
    <row r="9" customFormat="false" ht="15" hidden="false" customHeight="false" outlineLevel="0" collapsed="false">
      <c r="A9" s="4" t="s">
        <v>26</v>
      </c>
      <c r="B9" s="4" t="s">
        <v>27</v>
      </c>
      <c r="C9" s="4" t="s">
        <v>16</v>
      </c>
      <c r="D9" s="4" t="s">
        <v>20</v>
      </c>
      <c r="E9" s="5" t="n">
        <v>76000</v>
      </c>
      <c r="F9" s="6" t="n">
        <v>2</v>
      </c>
      <c r="G9" s="6" t="n">
        <v>4</v>
      </c>
      <c r="H9" s="7" t="n">
        <v>6</v>
      </c>
      <c r="I9" s="7" t="n">
        <f aca="false">E9*H9</f>
        <v>456000</v>
      </c>
      <c r="J9" s="7" t="n">
        <f aca="false">F9*2</f>
        <v>4</v>
      </c>
      <c r="K9" s="6" t="n">
        <v>12</v>
      </c>
      <c r="L9" s="6" t="n">
        <v>15</v>
      </c>
    </row>
    <row r="10" customFormat="false" ht="15" hidden="false" customHeight="false" outlineLevel="0" collapsed="false">
      <c r="A10" s="8" t="s">
        <v>28</v>
      </c>
      <c r="B10" s="8" t="s">
        <v>29</v>
      </c>
      <c r="C10" s="8" t="s">
        <v>30</v>
      </c>
      <c r="D10" s="8" t="s">
        <v>31</v>
      </c>
      <c r="E10" s="9" t="n">
        <v>9334</v>
      </c>
      <c r="F10" s="10" t="n">
        <v>10</v>
      </c>
      <c r="G10" s="10" t="n">
        <v>15</v>
      </c>
      <c r="H10" s="11" t="n">
        <v>25</v>
      </c>
      <c r="I10" s="11" t="n">
        <f aca="false">E10*H10</f>
        <v>233350</v>
      </c>
      <c r="J10" s="11" t="n">
        <f aca="false">F10*3</f>
        <v>30</v>
      </c>
      <c r="K10" s="10" t="n">
        <v>5</v>
      </c>
      <c r="L10" s="10" t="n">
        <v>120</v>
      </c>
    </row>
    <row r="11" customFormat="false" ht="15" hidden="false" customHeight="false" outlineLevel="0" collapsed="false">
      <c r="A11" s="4" t="s">
        <v>32</v>
      </c>
      <c r="B11" s="4" t="s">
        <v>33</v>
      </c>
      <c r="C11" s="4" t="s">
        <v>30</v>
      </c>
      <c r="D11" s="4" t="s">
        <v>20</v>
      </c>
      <c r="E11" s="5" t="n">
        <v>8900</v>
      </c>
      <c r="F11" s="6" t="n">
        <v>15</v>
      </c>
      <c r="G11" s="6" t="n">
        <v>20</v>
      </c>
      <c r="H11" s="7" t="n">
        <v>35</v>
      </c>
      <c r="I11" s="7" t="n">
        <f aca="false">E11*H11</f>
        <v>311500</v>
      </c>
      <c r="J11" s="7" t="n">
        <f aca="false">F11*3</f>
        <v>45</v>
      </c>
      <c r="K11" s="6" t="n">
        <v>5</v>
      </c>
      <c r="L11" s="6" t="n">
        <v>180</v>
      </c>
    </row>
    <row r="12" customFormat="false" ht="15" hidden="false" customHeight="false" outlineLevel="0" collapsed="false">
      <c r="A12" s="8" t="s">
        <v>34</v>
      </c>
      <c r="B12" s="8" t="s">
        <v>35</v>
      </c>
      <c r="C12" s="8" t="s">
        <v>30</v>
      </c>
      <c r="D12" s="8" t="s">
        <v>20</v>
      </c>
      <c r="E12" s="9" t="n">
        <v>810</v>
      </c>
      <c r="F12" s="10" t="n">
        <v>20</v>
      </c>
      <c r="G12" s="10" t="n">
        <v>30</v>
      </c>
      <c r="H12" s="11" t="n">
        <v>45</v>
      </c>
      <c r="I12" s="11" t="n">
        <f aca="false">E12*H12</f>
        <v>36450</v>
      </c>
      <c r="J12" s="11" t="n">
        <f aca="false">F12*2</f>
        <v>40</v>
      </c>
      <c r="K12" s="10" t="n">
        <v>5</v>
      </c>
      <c r="L12" s="10" t="n">
        <v>240</v>
      </c>
    </row>
    <row r="13" customFormat="false" ht="15" hidden="false" customHeight="false" outlineLevel="0" collapsed="false">
      <c r="A13" s="4" t="s">
        <v>36</v>
      </c>
      <c r="B13" s="4" t="s">
        <v>37</v>
      </c>
      <c r="C13" s="4" t="s">
        <v>30</v>
      </c>
      <c r="D13" s="4" t="s">
        <v>20</v>
      </c>
      <c r="E13" s="5" t="n">
        <v>360</v>
      </c>
      <c r="F13" s="6" t="n">
        <v>25</v>
      </c>
      <c r="G13" s="6" t="n">
        <v>40</v>
      </c>
      <c r="H13" s="7" t="n">
        <v>60</v>
      </c>
      <c r="I13" s="7" t="n">
        <f aca="false">E13*H13</f>
        <v>21600</v>
      </c>
      <c r="J13" s="7" t="n">
        <f aca="false">F13*2</f>
        <v>50</v>
      </c>
      <c r="K13" s="6" t="n">
        <v>5</v>
      </c>
      <c r="L13" s="6" t="n">
        <v>300</v>
      </c>
    </row>
    <row r="14" customFormat="false" ht="15" hidden="false" customHeight="false" outlineLevel="0" collapsed="false">
      <c r="A14" s="8" t="s">
        <v>38</v>
      </c>
      <c r="B14" s="8" t="s">
        <v>39</v>
      </c>
      <c r="C14" s="8" t="s">
        <v>40</v>
      </c>
      <c r="D14" s="8" t="s">
        <v>20</v>
      </c>
      <c r="E14" s="9" t="n">
        <v>350</v>
      </c>
      <c r="F14" s="10" t="n">
        <v>50</v>
      </c>
      <c r="G14" s="10" t="n">
        <v>75</v>
      </c>
      <c r="H14" s="11" t="n">
        <v>120</v>
      </c>
      <c r="I14" s="11" t="n">
        <f aca="false">E14*H14</f>
        <v>42000</v>
      </c>
      <c r="J14" s="11" t="n">
        <f aca="false">F14*3</f>
        <v>150</v>
      </c>
      <c r="K14" s="10" t="n">
        <v>3</v>
      </c>
      <c r="L14" s="10" t="n">
        <v>1200</v>
      </c>
    </row>
    <row r="15" customFormat="false" ht="15" hidden="false" customHeight="false" outlineLevel="0" collapsed="false">
      <c r="A15" s="12" t="s">
        <v>41</v>
      </c>
      <c r="B15" s="12"/>
      <c r="C15" s="12"/>
      <c r="D15" s="12"/>
      <c r="E15" s="12"/>
      <c r="F15" s="12"/>
      <c r="G15" s="12"/>
      <c r="H15" s="12"/>
      <c r="I15" s="13" t="n">
        <f aca="false">SUM(I5:I14)</f>
        <v>2102288</v>
      </c>
    </row>
  </sheetData>
  <mergeCells count="3">
    <mergeCell ref="A1:L1"/>
    <mergeCell ref="A2:L2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14"/>
  </cols>
  <sheetData>
    <row r="1" customFormat="false" ht="17.35" hidden="false" customHeight="false" outlineLevel="0" collapsed="false">
      <c r="A1" s="14" t="s">
        <v>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43</v>
      </c>
      <c r="B5" s="4" t="s">
        <v>44</v>
      </c>
      <c r="C5" s="4" t="s">
        <v>16</v>
      </c>
      <c r="D5" s="4" t="s">
        <v>20</v>
      </c>
      <c r="E5" s="5" t="n">
        <v>52000</v>
      </c>
      <c r="F5" s="6" t="n">
        <v>3</v>
      </c>
      <c r="G5" s="6" t="n">
        <v>5</v>
      </c>
      <c r="H5" s="7" t="n">
        <v>8</v>
      </c>
      <c r="I5" s="7" t="n">
        <f aca="false">E5*H5</f>
        <v>416000</v>
      </c>
      <c r="J5" s="7" t="n">
        <f aca="false">F5*2</f>
        <v>6</v>
      </c>
      <c r="K5" s="6" t="n">
        <v>14</v>
      </c>
      <c r="L5" s="6" t="n">
        <v>20</v>
      </c>
    </row>
    <row r="6" customFormat="false" ht="15" hidden="false" customHeight="false" outlineLevel="0" collapsed="false">
      <c r="A6" s="8" t="s">
        <v>45</v>
      </c>
      <c r="B6" s="8" t="s">
        <v>46</v>
      </c>
      <c r="C6" s="8" t="s">
        <v>16</v>
      </c>
      <c r="D6" s="8" t="s">
        <v>17</v>
      </c>
      <c r="E6" s="9" t="n">
        <v>9250</v>
      </c>
      <c r="F6" s="10" t="n">
        <v>5</v>
      </c>
      <c r="G6" s="10" t="n">
        <v>8</v>
      </c>
      <c r="H6" s="11" t="n">
        <v>12</v>
      </c>
      <c r="I6" s="11" t="n">
        <f aca="false">E6*H6</f>
        <v>111000</v>
      </c>
      <c r="J6" s="11" t="n">
        <f aca="false">F6*2</f>
        <v>10</v>
      </c>
      <c r="K6" s="10" t="n">
        <v>10</v>
      </c>
      <c r="L6" s="10" t="n">
        <v>40</v>
      </c>
    </row>
    <row r="7" customFormat="false" ht="15" hidden="false" customHeight="false" outlineLevel="0" collapsed="false">
      <c r="A7" s="4" t="s">
        <v>47</v>
      </c>
      <c r="B7" s="4" t="s">
        <v>48</v>
      </c>
      <c r="C7" s="4" t="s">
        <v>49</v>
      </c>
      <c r="D7" s="4" t="s">
        <v>20</v>
      </c>
      <c r="E7" s="5" t="n">
        <v>7900</v>
      </c>
      <c r="F7" s="6" t="n">
        <v>8</v>
      </c>
      <c r="G7" s="6" t="n">
        <v>12</v>
      </c>
      <c r="H7" s="7" t="n">
        <v>18</v>
      </c>
      <c r="I7" s="7" t="n">
        <f aca="false">E7*H7</f>
        <v>142200</v>
      </c>
      <c r="J7" s="7" t="n">
        <f aca="false">F7*2</f>
        <v>16</v>
      </c>
      <c r="K7" s="6" t="n">
        <v>7</v>
      </c>
      <c r="L7" s="6" t="n">
        <v>60</v>
      </c>
    </row>
    <row r="8" customFormat="false" ht="15" hidden="false" customHeight="false" outlineLevel="0" collapsed="false">
      <c r="A8" s="8" t="s">
        <v>50</v>
      </c>
      <c r="B8" s="8" t="s">
        <v>51</v>
      </c>
      <c r="C8" s="8" t="s">
        <v>49</v>
      </c>
      <c r="D8" s="8" t="s">
        <v>20</v>
      </c>
      <c r="E8" s="9" t="n">
        <v>1500</v>
      </c>
      <c r="F8" s="10" t="n">
        <v>10</v>
      </c>
      <c r="G8" s="10" t="n">
        <v>15</v>
      </c>
      <c r="H8" s="11" t="n">
        <v>22</v>
      </c>
      <c r="I8" s="11" t="n">
        <f aca="false">E8*H8</f>
        <v>33000</v>
      </c>
      <c r="J8" s="11" t="n">
        <f aca="false">F8*3</f>
        <v>30</v>
      </c>
      <c r="K8" s="10" t="n">
        <v>5</v>
      </c>
      <c r="L8" s="10" t="n">
        <v>80</v>
      </c>
    </row>
    <row r="9" customFormat="false" ht="15" hidden="false" customHeight="false" outlineLevel="0" collapsed="false">
      <c r="A9" s="4" t="s">
        <v>52</v>
      </c>
      <c r="B9" s="4" t="s">
        <v>53</v>
      </c>
      <c r="C9" s="4" t="s">
        <v>49</v>
      </c>
      <c r="D9" s="4" t="s">
        <v>20</v>
      </c>
      <c r="E9" s="5" t="n">
        <v>950</v>
      </c>
      <c r="F9" s="6" t="n">
        <v>15</v>
      </c>
      <c r="G9" s="6" t="n">
        <v>20</v>
      </c>
      <c r="H9" s="7" t="n">
        <v>30</v>
      </c>
      <c r="I9" s="7" t="n">
        <f aca="false">E9*H9</f>
        <v>28500</v>
      </c>
      <c r="J9" s="7" t="n">
        <f aca="false">F9*3</f>
        <v>45</v>
      </c>
      <c r="K9" s="6" t="n">
        <v>5</v>
      </c>
      <c r="L9" s="6" t="n">
        <v>120</v>
      </c>
    </row>
    <row r="10" customFormat="false" ht="15" hidden="false" customHeight="false" outlineLevel="0" collapsed="false">
      <c r="A10" s="8" t="s">
        <v>54</v>
      </c>
      <c r="B10" s="8" t="s">
        <v>55</v>
      </c>
      <c r="C10" s="8" t="s">
        <v>49</v>
      </c>
      <c r="D10" s="8" t="s">
        <v>20</v>
      </c>
      <c r="E10" s="9" t="n">
        <v>1800</v>
      </c>
      <c r="F10" s="10" t="n">
        <v>12</v>
      </c>
      <c r="G10" s="10" t="n">
        <v>18</v>
      </c>
      <c r="H10" s="11" t="n">
        <v>25</v>
      </c>
      <c r="I10" s="11" t="n">
        <f aca="false">E10*H10</f>
        <v>45000</v>
      </c>
      <c r="J10" s="11" t="n">
        <f aca="false">F10*3</f>
        <v>36</v>
      </c>
      <c r="K10" s="10" t="n">
        <v>5</v>
      </c>
      <c r="L10" s="10" t="n">
        <v>100</v>
      </c>
    </row>
    <row r="11" customFormat="false" ht="15" hidden="false" customHeight="false" outlineLevel="0" collapsed="false">
      <c r="A11" s="4" t="s">
        <v>56</v>
      </c>
      <c r="B11" s="4" t="s">
        <v>57</v>
      </c>
      <c r="C11" s="4" t="s">
        <v>58</v>
      </c>
      <c r="D11" s="4" t="s">
        <v>17</v>
      </c>
      <c r="E11" s="5" t="n">
        <v>12500</v>
      </c>
      <c r="F11" s="6" t="n">
        <v>2</v>
      </c>
      <c r="G11" s="6" t="n">
        <v>4</v>
      </c>
      <c r="H11" s="7" t="n">
        <v>6</v>
      </c>
      <c r="I11" s="7" t="n">
        <f aca="false">E11*H11</f>
        <v>75000</v>
      </c>
      <c r="J11" s="7" t="n">
        <f aca="false">F11*2</f>
        <v>4</v>
      </c>
      <c r="K11" s="6" t="n">
        <v>12</v>
      </c>
      <c r="L11" s="6" t="n">
        <v>15</v>
      </c>
    </row>
    <row r="12" customFormat="false" ht="15" hidden="false" customHeight="false" outlineLevel="0" collapsed="false">
      <c r="A12" s="12" t="s">
        <v>41</v>
      </c>
      <c r="B12" s="12"/>
      <c r="C12" s="12"/>
      <c r="D12" s="12"/>
      <c r="E12" s="12"/>
      <c r="F12" s="12"/>
      <c r="G12" s="12"/>
      <c r="H12" s="12"/>
      <c r="I12" s="13" t="n">
        <f aca="false">SUM(I5:I11)</f>
        <v>850700</v>
      </c>
    </row>
  </sheetData>
  <mergeCells count="3">
    <mergeCell ref="A1:L1"/>
    <mergeCell ref="A2:L2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4" t="s">
        <v>59</v>
      </c>
      <c r="B1" s="14"/>
      <c r="C1" s="14"/>
      <c r="D1" s="14"/>
      <c r="E1" s="14"/>
      <c r="F1" s="14"/>
      <c r="G1" s="14"/>
      <c r="H1" s="14"/>
    </row>
    <row r="2" customFormat="false" ht="15" hidden="false" customHeight="false" outlineLevel="0" collapsed="false">
      <c r="A2" s="2" t="s">
        <v>60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5" t="s">
        <v>61</v>
      </c>
      <c r="B4" s="15"/>
    </row>
    <row r="6" customFormat="false" ht="15" hidden="false" customHeight="false" outlineLevel="0" collapsed="false">
      <c r="A6" s="16" t="s">
        <v>62</v>
      </c>
      <c r="B6" s="17" t="s">
        <v>63</v>
      </c>
    </row>
    <row r="7" customFormat="false" ht="15" hidden="false" customHeight="false" outlineLevel="0" collapsed="false">
      <c r="A7" s="16" t="s">
        <v>64</v>
      </c>
      <c r="B7" s="17" t="s">
        <v>65</v>
      </c>
    </row>
    <row r="8" customFormat="false" ht="15" hidden="false" customHeight="false" outlineLevel="0" collapsed="false">
      <c r="A8" s="16" t="s">
        <v>66</v>
      </c>
      <c r="B8" s="17" t="s">
        <v>67</v>
      </c>
    </row>
    <row r="9" customFormat="false" ht="15" hidden="false" customHeight="false" outlineLevel="0" collapsed="false">
      <c r="A9" s="16" t="s">
        <v>68</v>
      </c>
      <c r="B9" s="17" t="s">
        <v>69</v>
      </c>
    </row>
    <row r="10" customFormat="false" ht="15" hidden="false" customHeight="false" outlineLevel="0" collapsed="false">
      <c r="A10" s="16" t="s">
        <v>70</v>
      </c>
      <c r="B10" s="17" t="s">
        <v>71</v>
      </c>
    </row>
    <row r="12" customFormat="false" ht="15" hidden="false" customHeight="false" outlineLevel="0" collapsed="false">
      <c r="A12" s="15" t="s">
        <v>72</v>
      </c>
      <c r="B12" s="15"/>
      <c r="C12" s="15"/>
      <c r="D12" s="15"/>
      <c r="E12" s="15"/>
      <c r="F12" s="15"/>
      <c r="G12" s="15"/>
      <c r="H12" s="15"/>
    </row>
    <row r="14" customFormat="false" ht="23.85" hidden="false" customHeight="false" outlineLevel="0" collapsed="false">
      <c r="A14" s="18" t="s">
        <v>4</v>
      </c>
      <c r="B14" s="18" t="s">
        <v>73</v>
      </c>
      <c r="C14" s="18" t="s">
        <v>74</v>
      </c>
      <c r="D14" s="18" t="s">
        <v>75</v>
      </c>
      <c r="E14" s="18" t="s">
        <v>76</v>
      </c>
      <c r="F14" s="18" t="s">
        <v>77</v>
      </c>
      <c r="G14" s="18" t="s">
        <v>78</v>
      </c>
    </row>
    <row r="15" customFormat="false" ht="15" hidden="false" customHeight="false" outlineLevel="0" collapsed="false">
      <c r="A15" s="19" t="s">
        <v>16</v>
      </c>
      <c r="B15" s="9" t="n">
        <v>1500000</v>
      </c>
      <c r="C15" s="9" t="n">
        <v>1200000</v>
      </c>
      <c r="D15" s="9" t="n">
        <v>1800000</v>
      </c>
      <c r="E15" s="9" t="n">
        <v>1500000</v>
      </c>
      <c r="F15" s="20" t="n">
        <f aca="false">SUM(B15:E15)</f>
        <v>6000000</v>
      </c>
      <c r="G15" s="21" t="n">
        <f aca="false">F15/$F$21</f>
        <v>0.333333333333333</v>
      </c>
    </row>
    <row r="16" customFormat="false" ht="15" hidden="false" customHeight="false" outlineLevel="0" collapsed="false">
      <c r="A16" s="22" t="s">
        <v>79</v>
      </c>
      <c r="B16" s="5" t="n">
        <v>400000</v>
      </c>
      <c r="C16" s="5" t="n">
        <v>450000</v>
      </c>
      <c r="D16" s="5" t="n">
        <v>500000</v>
      </c>
      <c r="E16" s="5" t="n">
        <v>550000</v>
      </c>
      <c r="F16" s="23" t="n">
        <f aca="false">SUM(B16:E16)</f>
        <v>1900000</v>
      </c>
      <c r="G16" s="24" t="n">
        <f aca="false">F16/$F$21</f>
        <v>0.105555555555556</v>
      </c>
    </row>
    <row r="17" customFormat="false" ht="15" hidden="false" customHeight="false" outlineLevel="0" collapsed="false">
      <c r="A17" s="19" t="s">
        <v>80</v>
      </c>
      <c r="B17" s="9" t="n">
        <v>1500000</v>
      </c>
      <c r="C17" s="9" t="n">
        <v>1800000</v>
      </c>
      <c r="D17" s="9" t="n">
        <v>2100000</v>
      </c>
      <c r="E17" s="9" t="n">
        <v>2400000</v>
      </c>
      <c r="F17" s="20" t="n">
        <f aca="false">SUM(B17:E17)</f>
        <v>7800000</v>
      </c>
      <c r="G17" s="21" t="n">
        <f aca="false">F17/$F$21</f>
        <v>0.433333333333333</v>
      </c>
    </row>
    <row r="18" customFormat="false" ht="15" hidden="false" customHeight="false" outlineLevel="0" collapsed="false">
      <c r="A18" s="22" t="s">
        <v>81</v>
      </c>
      <c r="B18" s="5" t="n">
        <v>300000</v>
      </c>
      <c r="C18" s="5" t="n">
        <v>350000</v>
      </c>
      <c r="D18" s="5" t="n">
        <v>400000</v>
      </c>
      <c r="E18" s="5" t="n">
        <v>450000</v>
      </c>
      <c r="F18" s="23" t="n">
        <f aca="false">SUM(B18:E18)</f>
        <v>1500000</v>
      </c>
      <c r="G18" s="24" t="n">
        <f aca="false">F18/$F$21</f>
        <v>0.0833333333333333</v>
      </c>
    </row>
    <row r="19" customFormat="false" ht="15" hidden="false" customHeight="false" outlineLevel="0" collapsed="false">
      <c r="A19" s="19" t="s">
        <v>82</v>
      </c>
      <c r="B19" s="9" t="n">
        <v>200000</v>
      </c>
      <c r="C19" s="9" t="n">
        <v>150000</v>
      </c>
      <c r="D19" s="9" t="n">
        <v>250000</v>
      </c>
      <c r="E19" s="9" t="n">
        <v>200000</v>
      </c>
      <c r="F19" s="20" t="n">
        <f aca="false">SUM(B19:E19)</f>
        <v>800000</v>
      </c>
      <c r="G19" s="21" t="n">
        <f aca="false">F19/$F$21</f>
        <v>0.0444444444444444</v>
      </c>
    </row>
    <row r="20" customFormat="false" ht="15" hidden="false" customHeight="false" outlineLevel="0" collapsed="false">
      <c r="A20" s="22"/>
      <c r="B20" s="25"/>
      <c r="C20" s="25"/>
      <c r="D20" s="25"/>
      <c r="E20" s="25"/>
      <c r="F20" s="25"/>
      <c r="G20" s="25"/>
    </row>
    <row r="21" customFormat="false" ht="15" hidden="false" customHeight="false" outlineLevel="0" collapsed="false">
      <c r="A21" s="26" t="s">
        <v>83</v>
      </c>
      <c r="B21" s="27" t="n">
        <f aca="false">SUM(B15:B19)</f>
        <v>3900000</v>
      </c>
      <c r="C21" s="27" t="n">
        <f aca="false">SUM(C15:C19)</f>
        <v>3950000</v>
      </c>
      <c r="D21" s="27" t="n">
        <f aca="false">SUM(D15:D19)</f>
        <v>5050000</v>
      </c>
      <c r="E21" s="27" t="n">
        <f aca="false">SUM(E15:E19)</f>
        <v>5100000</v>
      </c>
      <c r="F21" s="27" t="n">
        <f aca="false">SUM(F15:F19)</f>
        <v>18000000</v>
      </c>
      <c r="G21" s="28" t="n">
        <f aca="false">SUM(G15:G19)</f>
        <v>1</v>
      </c>
    </row>
    <row r="24" customFormat="false" ht="15" hidden="false" customHeight="false" outlineLevel="0" collapsed="false">
      <c r="A24" s="15" t="s">
        <v>84</v>
      </c>
      <c r="B24" s="15"/>
      <c r="C24" s="15"/>
      <c r="D24" s="15"/>
      <c r="E24" s="15"/>
      <c r="F24" s="15"/>
    </row>
    <row r="26" customFormat="false" ht="23.85" hidden="false" customHeight="false" outlineLevel="0" collapsed="false">
      <c r="A26" s="18" t="s">
        <v>85</v>
      </c>
      <c r="B26" s="18" t="s">
        <v>86</v>
      </c>
      <c r="C26" s="18" t="s">
        <v>87</v>
      </c>
      <c r="D26" s="18" t="s">
        <v>78</v>
      </c>
      <c r="E26" s="18" t="s">
        <v>88</v>
      </c>
      <c r="F26" s="18" t="s">
        <v>89</v>
      </c>
    </row>
    <row r="27" customFormat="false" ht="15" hidden="false" customHeight="false" outlineLevel="0" collapsed="false">
      <c r="A27" s="19" t="s">
        <v>17</v>
      </c>
      <c r="B27" s="19" t="s">
        <v>90</v>
      </c>
      <c r="C27" s="9" t="n">
        <v>2800000</v>
      </c>
      <c r="D27" s="21" t="n">
        <f aca="false">C27/$C$31</f>
        <v>0.231404958677686</v>
      </c>
      <c r="E27" s="29" t="s">
        <v>91</v>
      </c>
      <c r="F27" s="29" t="s">
        <v>92</v>
      </c>
    </row>
    <row r="28" customFormat="false" ht="15" hidden="false" customHeight="false" outlineLevel="0" collapsed="false">
      <c r="A28" s="22" t="s">
        <v>20</v>
      </c>
      <c r="B28" s="22" t="s">
        <v>93</v>
      </c>
      <c r="C28" s="5" t="n">
        <v>8500000</v>
      </c>
      <c r="D28" s="24" t="n">
        <f aca="false">C28/$C$31</f>
        <v>0.702479338842975</v>
      </c>
      <c r="E28" s="25" t="s">
        <v>91</v>
      </c>
      <c r="F28" s="25" t="s">
        <v>94</v>
      </c>
    </row>
    <row r="29" customFormat="false" ht="15" hidden="false" customHeight="false" outlineLevel="0" collapsed="false">
      <c r="A29" s="19" t="s">
        <v>95</v>
      </c>
      <c r="B29" s="19" t="s">
        <v>96</v>
      </c>
      <c r="C29" s="9" t="n">
        <v>800000</v>
      </c>
      <c r="D29" s="21" t="n">
        <f aca="false">C29/$C$31</f>
        <v>0.0661157024793388</v>
      </c>
      <c r="E29" s="29" t="s">
        <v>97</v>
      </c>
      <c r="F29" s="29" t="s">
        <v>98</v>
      </c>
    </row>
    <row r="30" customFormat="false" ht="15" hidden="false" customHeight="false" outlineLevel="0" collapsed="false">
      <c r="A30" s="22"/>
      <c r="B30" s="22"/>
      <c r="C30" s="25"/>
      <c r="D30" s="25"/>
      <c r="E30" s="25"/>
      <c r="F30" s="25"/>
    </row>
    <row r="31" customFormat="false" ht="15" hidden="false" customHeight="false" outlineLevel="0" collapsed="false">
      <c r="A31" s="26" t="s">
        <v>99</v>
      </c>
      <c r="B31" s="26"/>
      <c r="C31" s="27" t="n">
        <f aca="false">SUM(C27:C29)</f>
        <v>12100000</v>
      </c>
      <c r="D31" s="28" t="n">
        <f aca="false">SUM(D27:D29)</f>
        <v>1</v>
      </c>
      <c r="E31" s="30"/>
      <c r="F31" s="30"/>
    </row>
  </sheetData>
  <mergeCells count="5">
    <mergeCell ref="A1:H1"/>
    <mergeCell ref="A2:H2"/>
    <mergeCell ref="A4:B4"/>
    <mergeCell ref="A12:H12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1" min="10" style="0" width="14"/>
  </cols>
  <sheetData>
    <row r="1" customFormat="false" ht="17.35" hidden="false" customHeight="false" outlineLevel="0" collapsed="false">
      <c r="A1" s="14" t="s">
        <v>100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15" hidden="false" customHeight="false" outlineLevel="0" collapsed="false">
      <c r="A2" s="31" t="s">
        <v>101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6</v>
      </c>
      <c r="D4" s="3" t="s">
        <v>102</v>
      </c>
      <c r="E4" s="3" t="s">
        <v>103</v>
      </c>
      <c r="F4" s="3" t="s">
        <v>9</v>
      </c>
      <c r="G4" s="3" t="s">
        <v>104</v>
      </c>
      <c r="H4" s="3" t="s">
        <v>105</v>
      </c>
      <c r="I4" s="3" t="s">
        <v>106</v>
      </c>
      <c r="J4" s="3" t="s">
        <v>107</v>
      </c>
      <c r="K4" s="3" t="s">
        <v>12</v>
      </c>
    </row>
    <row r="5" customFormat="false" ht="15" hidden="false" customHeight="false" outlineLevel="0" collapsed="false">
      <c r="A5" s="32" t="s">
        <v>108</v>
      </c>
      <c r="B5" s="32" t="s">
        <v>109</v>
      </c>
      <c r="C5" s="33" t="n">
        <v>350</v>
      </c>
      <c r="D5" s="34" t="s">
        <v>110</v>
      </c>
      <c r="E5" s="35" t="n">
        <v>50</v>
      </c>
      <c r="F5" s="34" t="n">
        <v>120</v>
      </c>
      <c r="G5" s="35" t="n">
        <v>4</v>
      </c>
      <c r="H5" s="36" t="n">
        <f aca="false">F5/G5</f>
        <v>30</v>
      </c>
      <c r="I5" s="37" t="n">
        <f aca="false">C5*G5*30</f>
        <v>42000</v>
      </c>
      <c r="J5" s="38" t="n">
        <f aca="false">E5+G5*K5</f>
        <v>62</v>
      </c>
      <c r="K5" s="35" t="n">
        <v>3</v>
      </c>
    </row>
    <row r="6" customFormat="false" ht="15" hidden="false" customHeight="false" outlineLevel="0" collapsed="false">
      <c r="A6" s="39" t="s">
        <v>111</v>
      </c>
      <c r="B6" s="39" t="s">
        <v>112</v>
      </c>
      <c r="C6" s="40" t="n">
        <v>450</v>
      </c>
      <c r="D6" s="41" t="s">
        <v>113</v>
      </c>
      <c r="E6" s="42" t="n">
        <v>100</v>
      </c>
      <c r="F6" s="41" t="n">
        <v>180</v>
      </c>
      <c r="G6" s="42" t="n">
        <v>8</v>
      </c>
      <c r="H6" s="43" t="n">
        <f aca="false">F6/G6</f>
        <v>22.5</v>
      </c>
      <c r="I6" s="44" t="n">
        <f aca="false">C6*G6*30</f>
        <v>108000</v>
      </c>
      <c r="J6" s="45" t="n">
        <f aca="false">E6+G6*K6</f>
        <v>140</v>
      </c>
      <c r="K6" s="42" t="n">
        <v>5</v>
      </c>
    </row>
    <row r="7" customFormat="false" ht="15" hidden="false" customHeight="false" outlineLevel="0" collapsed="false">
      <c r="A7" s="32" t="s">
        <v>114</v>
      </c>
      <c r="B7" s="32" t="s">
        <v>115</v>
      </c>
      <c r="C7" s="33" t="n">
        <v>280</v>
      </c>
      <c r="D7" s="34" t="s">
        <v>113</v>
      </c>
      <c r="E7" s="35" t="n">
        <v>120</v>
      </c>
      <c r="F7" s="34" t="n">
        <v>250</v>
      </c>
      <c r="G7" s="35" t="n">
        <v>12</v>
      </c>
      <c r="H7" s="36" t="n">
        <f aca="false">F7/G7</f>
        <v>20.8333333333333</v>
      </c>
      <c r="I7" s="37" t="n">
        <f aca="false">C7*G7*30</f>
        <v>100800</v>
      </c>
      <c r="J7" s="38" t="n">
        <f aca="false">E7+G7*K7</f>
        <v>168</v>
      </c>
      <c r="K7" s="35" t="n">
        <v>4</v>
      </c>
    </row>
    <row r="8" customFormat="false" ht="15" hidden="false" customHeight="false" outlineLevel="0" collapsed="false">
      <c r="A8" s="39" t="s">
        <v>116</v>
      </c>
      <c r="B8" s="39" t="s">
        <v>117</v>
      </c>
      <c r="C8" s="40" t="n">
        <v>280</v>
      </c>
      <c r="D8" s="41" t="s">
        <v>118</v>
      </c>
      <c r="E8" s="42" t="n">
        <v>80</v>
      </c>
      <c r="F8" s="41" t="n">
        <v>150</v>
      </c>
      <c r="G8" s="42" t="n">
        <v>6</v>
      </c>
      <c r="H8" s="43" t="n">
        <f aca="false">F8/G8</f>
        <v>25</v>
      </c>
      <c r="I8" s="44" t="n">
        <f aca="false">C8*G8*30</f>
        <v>50400</v>
      </c>
      <c r="J8" s="45" t="n">
        <f aca="false">E8+G8*K8</f>
        <v>98</v>
      </c>
      <c r="K8" s="42" t="n">
        <v>3</v>
      </c>
    </row>
    <row r="9" customFormat="false" ht="15" hidden="false" customHeight="false" outlineLevel="0" collapsed="false">
      <c r="A9" s="32" t="s">
        <v>119</v>
      </c>
      <c r="B9" s="32" t="s">
        <v>120</v>
      </c>
      <c r="C9" s="33" t="n">
        <v>850</v>
      </c>
      <c r="D9" s="34" t="s">
        <v>121</v>
      </c>
      <c r="E9" s="35" t="n">
        <v>40</v>
      </c>
      <c r="F9" s="34" t="n">
        <v>70</v>
      </c>
      <c r="G9" s="35" t="n">
        <v>3</v>
      </c>
      <c r="H9" s="36" t="n">
        <f aca="false">F9/G9</f>
        <v>23.3333333333333</v>
      </c>
      <c r="I9" s="37" t="n">
        <f aca="false">C9*G9*30</f>
        <v>76500</v>
      </c>
      <c r="J9" s="38" t="n">
        <f aca="false">E9+G9*K9</f>
        <v>55</v>
      </c>
      <c r="K9" s="35" t="n">
        <v>5</v>
      </c>
    </row>
    <row r="10" customFormat="false" ht="15" hidden="false" customHeight="false" outlineLevel="0" collapsed="false">
      <c r="A10" s="39" t="s">
        <v>122</v>
      </c>
      <c r="B10" s="39" t="s">
        <v>123</v>
      </c>
      <c r="C10" s="40" t="n">
        <v>180</v>
      </c>
      <c r="D10" s="41" t="s">
        <v>110</v>
      </c>
      <c r="E10" s="42" t="n">
        <v>60</v>
      </c>
      <c r="F10" s="41" t="n">
        <v>110</v>
      </c>
      <c r="G10" s="42" t="n">
        <v>5</v>
      </c>
      <c r="H10" s="43" t="n">
        <f aca="false">F10/G10</f>
        <v>22</v>
      </c>
      <c r="I10" s="44" t="n">
        <f aca="false">C10*G10*30</f>
        <v>27000</v>
      </c>
      <c r="J10" s="45" t="n">
        <f aca="false">E10+G10*K10</f>
        <v>80</v>
      </c>
      <c r="K10" s="42" t="n">
        <v>4</v>
      </c>
    </row>
    <row r="11" customFormat="false" ht="15" hidden="false" customHeight="false" outlineLevel="0" collapsed="false">
      <c r="A11" s="32" t="s">
        <v>124</v>
      </c>
      <c r="B11" s="32" t="s">
        <v>125</v>
      </c>
      <c r="C11" s="33" t="n">
        <v>220</v>
      </c>
      <c r="D11" s="34" t="s">
        <v>110</v>
      </c>
      <c r="E11" s="35" t="n">
        <v>50</v>
      </c>
      <c r="F11" s="34" t="n">
        <v>95</v>
      </c>
      <c r="G11" s="35" t="n">
        <v>4</v>
      </c>
      <c r="H11" s="36" t="n">
        <f aca="false">F11/G11</f>
        <v>23.75</v>
      </c>
      <c r="I11" s="37" t="n">
        <f aca="false">C11*G11*30</f>
        <v>26400</v>
      </c>
      <c r="J11" s="38" t="n">
        <f aca="false">E11+G11*K11</f>
        <v>66</v>
      </c>
      <c r="K11" s="35" t="n">
        <v>4</v>
      </c>
    </row>
    <row r="12" customFormat="false" ht="15" hidden="false" customHeight="false" outlineLevel="0" collapsed="false">
      <c r="A12" s="39" t="s">
        <v>126</v>
      </c>
      <c r="B12" s="39" t="s">
        <v>127</v>
      </c>
      <c r="C12" s="40" t="n">
        <v>280</v>
      </c>
      <c r="D12" s="41" t="s">
        <v>110</v>
      </c>
      <c r="E12" s="42" t="n">
        <v>40</v>
      </c>
      <c r="F12" s="41" t="n">
        <v>80</v>
      </c>
      <c r="G12" s="42" t="n">
        <v>3</v>
      </c>
      <c r="H12" s="43" t="n">
        <f aca="false">F12/G12</f>
        <v>26.6666666666667</v>
      </c>
      <c r="I12" s="44" t="n">
        <f aca="false">C12*G12*30</f>
        <v>25200</v>
      </c>
      <c r="J12" s="45" t="n">
        <f aca="false">E12+G12*K12</f>
        <v>52</v>
      </c>
      <c r="K12" s="42" t="n">
        <v>4</v>
      </c>
    </row>
    <row r="13" customFormat="false" ht="15" hidden="false" customHeight="false" outlineLevel="0" collapsed="false">
      <c r="A13" s="32" t="s">
        <v>128</v>
      </c>
      <c r="B13" s="32" t="s">
        <v>129</v>
      </c>
      <c r="C13" s="33" t="n">
        <v>650</v>
      </c>
      <c r="D13" s="34" t="s">
        <v>110</v>
      </c>
      <c r="E13" s="35" t="n">
        <v>40</v>
      </c>
      <c r="F13" s="34" t="n">
        <v>85</v>
      </c>
      <c r="G13" s="35" t="n">
        <v>3</v>
      </c>
      <c r="H13" s="36" t="n">
        <f aca="false">F13/G13</f>
        <v>28.3333333333333</v>
      </c>
      <c r="I13" s="37" t="n">
        <f aca="false">C13*G13*30</f>
        <v>58500</v>
      </c>
      <c r="J13" s="38" t="n">
        <f aca="false">E13+G13*K13</f>
        <v>55</v>
      </c>
      <c r="K13" s="35" t="n">
        <v>5</v>
      </c>
    </row>
    <row r="14" customFormat="false" ht="15" hidden="false" customHeight="false" outlineLevel="0" collapsed="false">
      <c r="A14" s="39" t="s">
        <v>130</v>
      </c>
      <c r="B14" s="39" t="s">
        <v>131</v>
      </c>
      <c r="C14" s="40" t="n">
        <v>620</v>
      </c>
      <c r="D14" s="41" t="s">
        <v>110</v>
      </c>
      <c r="E14" s="42" t="n">
        <v>45</v>
      </c>
      <c r="F14" s="41" t="n">
        <v>90</v>
      </c>
      <c r="G14" s="42" t="n">
        <v>4</v>
      </c>
      <c r="H14" s="43" t="n">
        <f aca="false">F14/G14</f>
        <v>22.5</v>
      </c>
      <c r="I14" s="44" t="n">
        <f aca="false">C14*G14*30</f>
        <v>74400</v>
      </c>
      <c r="J14" s="45" t="n">
        <f aca="false">E14+G14*K14</f>
        <v>65</v>
      </c>
      <c r="K14" s="42" t="n">
        <v>5</v>
      </c>
    </row>
    <row r="15" customFormat="false" ht="15" hidden="false" customHeight="false" outlineLevel="0" collapsed="false">
      <c r="A15" s="32" t="s">
        <v>132</v>
      </c>
      <c r="B15" s="32" t="s">
        <v>133</v>
      </c>
      <c r="C15" s="33" t="n">
        <v>180</v>
      </c>
      <c r="D15" s="34" t="s">
        <v>134</v>
      </c>
      <c r="E15" s="35" t="n">
        <v>100</v>
      </c>
      <c r="F15" s="34" t="n">
        <v>200</v>
      </c>
      <c r="G15" s="35" t="n">
        <v>7</v>
      </c>
      <c r="H15" s="36" t="n">
        <f aca="false">F15/G15</f>
        <v>28.5714285714286</v>
      </c>
      <c r="I15" s="37" t="n">
        <f aca="false">C15*G15*30</f>
        <v>37800</v>
      </c>
      <c r="J15" s="38" t="n">
        <f aca="false">E15+G15*K15</f>
        <v>121</v>
      </c>
      <c r="K15" s="35" t="n">
        <v>3</v>
      </c>
    </row>
    <row r="16" customFormat="false" ht="15" hidden="false" customHeight="false" outlineLevel="0" collapsed="false">
      <c r="A16" s="39" t="s">
        <v>135</v>
      </c>
      <c r="B16" s="39" t="s">
        <v>136</v>
      </c>
      <c r="C16" s="40" t="n">
        <v>220</v>
      </c>
      <c r="D16" s="41" t="s">
        <v>110</v>
      </c>
      <c r="E16" s="42" t="n">
        <v>70</v>
      </c>
      <c r="F16" s="41" t="n">
        <v>140</v>
      </c>
      <c r="G16" s="42" t="n">
        <v>5</v>
      </c>
      <c r="H16" s="43" t="n">
        <f aca="false">F16/G16</f>
        <v>28</v>
      </c>
      <c r="I16" s="44" t="n">
        <f aca="false">C16*G16*30</f>
        <v>33000</v>
      </c>
      <c r="J16" s="45" t="n">
        <f aca="false">E16+G16*K16</f>
        <v>90</v>
      </c>
      <c r="K16" s="42" t="n">
        <v>4</v>
      </c>
    </row>
    <row r="17" customFormat="false" ht="15" hidden="false" customHeight="false" outlineLevel="0" collapsed="false">
      <c r="A17" s="32" t="s">
        <v>137</v>
      </c>
      <c r="B17" s="32" t="s">
        <v>138</v>
      </c>
      <c r="C17" s="33" t="n">
        <v>320</v>
      </c>
      <c r="D17" s="34" t="s">
        <v>110</v>
      </c>
      <c r="E17" s="35" t="n">
        <v>60</v>
      </c>
      <c r="F17" s="34" t="n">
        <v>120</v>
      </c>
      <c r="G17" s="35" t="n">
        <v>4</v>
      </c>
      <c r="H17" s="36" t="n">
        <f aca="false">F17/G17</f>
        <v>30</v>
      </c>
      <c r="I17" s="37" t="n">
        <f aca="false">C17*G17*30</f>
        <v>38400</v>
      </c>
      <c r="J17" s="38" t="n">
        <f aca="false">E17+G17*K17</f>
        <v>76</v>
      </c>
      <c r="K17" s="35" t="n">
        <v>4</v>
      </c>
    </row>
    <row r="18" customFormat="false" ht="15" hidden="false" customHeight="false" outlineLevel="0" collapsed="false">
      <c r="A18" s="39" t="s">
        <v>139</v>
      </c>
      <c r="B18" s="39" t="s">
        <v>140</v>
      </c>
      <c r="C18" s="40" t="n">
        <v>300</v>
      </c>
      <c r="D18" s="41" t="s">
        <v>141</v>
      </c>
      <c r="E18" s="42" t="n">
        <v>50</v>
      </c>
      <c r="F18" s="41" t="n">
        <v>95</v>
      </c>
      <c r="G18" s="42" t="n">
        <v>4</v>
      </c>
      <c r="H18" s="43" t="n">
        <f aca="false">F18/G18</f>
        <v>23.75</v>
      </c>
      <c r="I18" s="44" t="n">
        <f aca="false">C18*G18*30</f>
        <v>36000</v>
      </c>
      <c r="J18" s="45" t="n">
        <f aca="false">E18+G18*K18</f>
        <v>62</v>
      </c>
      <c r="K18" s="42" t="n">
        <v>3</v>
      </c>
    </row>
    <row r="19" customFormat="false" ht="15" hidden="false" customHeight="false" outlineLevel="0" collapsed="false">
      <c r="A19" s="32" t="s">
        <v>142</v>
      </c>
      <c r="B19" s="32" t="s">
        <v>143</v>
      </c>
      <c r="C19" s="33" t="n">
        <v>150</v>
      </c>
      <c r="D19" s="34" t="s">
        <v>144</v>
      </c>
      <c r="E19" s="35" t="n">
        <v>80</v>
      </c>
      <c r="F19" s="34" t="n">
        <v>140</v>
      </c>
      <c r="G19" s="35" t="n">
        <v>6</v>
      </c>
      <c r="H19" s="36" t="n">
        <f aca="false">F19/G19</f>
        <v>23.3333333333333</v>
      </c>
      <c r="I19" s="37" t="n">
        <f aca="false">C19*G19*30</f>
        <v>27000</v>
      </c>
      <c r="J19" s="38" t="n">
        <f aca="false">E19+G19*K19</f>
        <v>98</v>
      </c>
      <c r="K19" s="35" t="n">
        <v>3</v>
      </c>
    </row>
    <row r="20" customFormat="false" ht="15" hidden="false" customHeight="false" outlineLevel="0" collapsed="false">
      <c r="A20" s="39" t="s">
        <v>145</v>
      </c>
      <c r="B20" s="39" t="s">
        <v>146</v>
      </c>
      <c r="C20" s="40" t="n">
        <v>120</v>
      </c>
      <c r="D20" s="41" t="s">
        <v>134</v>
      </c>
      <c r="E20" s="42" t="n">
        <v>90</v>
      </c>
      <c r="F20" s="41" t="n">
        <v>160</v>
      </c>
      <c r="G20" s="42" t="n">
        <v>7</v>
      </c>
      <c r="H20" s="43" t="n">
        <f aca="false">F20/G20</f>
        <v>22.8571428571429</v>
      </c>
      <c r="I20" s="44" t="n">
        <f aca="false">C20*G20*30</f>
        <v>25200</v>
      </c>
      <c r="J20" s="45" t="n">
        <f aca="false">E20+G20*K20</f>
        <v>111</v>
      </c>
      <c r="K20" s="42" t="n">
        <v>3</v>
      </c>
    </row>
    <row r="21" customFormat="false" ht="15" hidden="false" customHeight="false" outlineLevel="0" collapsed="false">
      <c r="A21" s="32" t="s">
        <v>147</v>
      </c>
      <c r="B21" s="32" t="s">
        <v>148</v>
      </c>
      <c r="C21" s="33" t="n">
        <v>95</v>
      </c>
      <c r="D21" s="34" t="s">
        <v>110</v>
      </c>
      <c r="E21" s="35" t="n">
        <v>100</v>
      </c>
      <c r="F21" s="34" t="n">
        <v>180</v>
      </c>
      <c r="G21" s="35" t="n">
        <v>8</v>
      </c>
      <c r="H21" s="36" t="n">
        <f aca="false">F21/G21</f>
        <v>22.5</v>
      </c>
      <c r="I21" s="37" t="n">
        <f aca="false">C21*G21*30</f>
        <v>22800</v>
      </c>
      <c r="J21" s="38" t="n">
        <f aca="false">E21+G21*K21</f>
        <v>124</v>
      </c>
      <c r="K21" s="35" t="n">
        <v>3</v>
      </c>
    </row>
    <row r="22" customFormat="false" ht="15" hidden="false" customHeight="false" outlineLevel="0" collapsed="false">
      <c r="A22" s="39" t="s">
        <v>149</v>
      </c>
      <c r="B22" s="39" t="s">
        <v>150</v>
      </c>
      <c r="C22" s="40" t="n">
        <v>85</v>
      </c>
      <c r="D22" s="41" t="s">
        <v>151</v>
      </c>
      <c r="E22" s="42" t="n">
        <v>120</v>
      </c>
      <c r="F22" s="41" t="n">
        <v>220</v>
      </c>
      <c r="G22" s="42" t="n">
        <v>10</v>
      </c>
      <c r="H22" s="43" t="n">
        <f aca="false">F22/G22</f>
        <v>22</v>
      </c>
      <c r="I22" s="44" t="n">
        <f aca="false">C22*G22*30</f>
        <v>25500</v>
      </c>
      <c r="J22" s="45" t="n">
        <f aca="false">E22+G22*K22</f>
        <v>160</v>
      </c>
      <c r="K22" s="42" t="n">
        <v>4</v>
      </c>
    </row>
    <row r="23" customFormat="false" ht="15" hidden="false" customHeight="false" outlineLevel="0" collapsed="false">
      <c r="A23" s="32" t="s">
        <v>152</v>
      </c>
      <c r="B23" s="32" t="s">
        <v>153</v>
      </c>
      <c r="C23" s="33" t="n">
        <v>12</v>
      </c>
      <c r="D23" s="34" t="s">
        <v>154</v>
      </c>
      <c r="E23" s="35" t="n">
        <v>200</v>
      </c>
      <c r="F23" s="34" t="n">
        <v>350</v>
      </c>
      <c r="G23" s="35" t="n">
        <v>15</v>
      </c>
      <c r="H23" s="36" t="n">
        <f aca="false">F23/G23</f>
        <v>23.3333333333333</v>
      </c>
      <c r="I23" s="37" t="n">
        <f aca="false">C23*G23*30</f>
        <v>5400</v>
      </c>
      <c r="J23" s="38" t="n">
        <f aca="false">E23+G23*K23</f>
        <v>260</v>
      </c>
      <c r="K23" s="35" t="n">
        <v>4</v>
      </c>
    </row>
    <row r="24" customFormat="false" ht="15" hidden="false" customHeight="false" outlineLevel="0" collapsed="false">
      <c r="A24" s="39" t="s">
        <v>155</v>
      </c>
      <c r="B24" s="39" t="s">
        <v>156</v>
      </c>
      <c r="C24" s="40" t="n">
        <v>8</v>
      </c>
      <c r="D24" s="41" t="s">
        <v>157</v>
      </c>
      <c r="E24" s="42" t="n">
        <v>250</v>
      </c>
      <c r="F24" s="41" t="n">
        <v>450</v>
      </c>
      <c r="G24" s="42" t="n">
        <v>20</v>
      </c>
      <c r="H24" s="43" t="n">
        <f aca="false">F24/G24</f>
        <v>22.5</v>
      </c>
      <c r="I24" s="44" t="n">
        <f aca="false">C24*G24*30</f>
        <v>4800</v>
      </c>
      <c r="J24" s="45" t="n">
        <f aca="false">E24+G24*K24</f>
        <v>330</v>
      </c>
      <c r="K24" s="42" t="n">
        <v>4</v>
      </c>
    </row>
    <row r="25" customFormat="false" ht="15" hidden="false" customHeight="false" outlineLevel="0" collapsed="false">
      <c r="A25" s="32" t="s">
        <v>158</v>
      </c>
      <c r="B25" s="32" t="s">
        <v>159</v>
      </c>
      <c r="C25" s="33" t="n">
        <v>7</v>
      </c>
      <c r="D25" s="34" t="s">
        <v>157</v>
      </c>
      <c r="E25" s="35" t="n">
        <v>220</v>
      </c>
      <c r="F25" s="34" t="n">
        <v>400</v>
      </c>
      <c r="G25" s="35" t="n">
        <v>18</v>
      </c>
      <c r="H25" s="36" t="n">
        <f aca="false">F25/G25</f>
        <v>22.2222222222222</v>
      </c>
      <c r="I25" s="37" t="n">
        <f aca="false">C25*G25*30</f>
        <v>3780</v>
      </c>
      <c r="J25" s="38" t="n">
        <f aca="false">E25+G25*K25</f>
        <v>292</v>
      </c>
      <c r="K25" s="35" t="n">
        <v>4</v>
      </c>
    </row>
    <row r="26" customFormat="false" ht="15" hidden="false" customHeight="false" outlineLevel="0" collapsed="false">
      <c r="A26" s="39" t="s">
        <v>160</v>
      </c>
      <c r="B26" s="39" t="s">
        <v>161</v>
      </c>
      <c r="C26" s="40" t="n">
        <v>15</v>
      </c>
      <c r="D26" s="41" t="s">
        <v>157</v>
      </c>
      <c r="E26" s="42" t="n">
        <v>150</v>
      </c>
      <c r="F26" s="41" t="n">
        <v>280</v>
      </c>
      <c r="G26" s="42" t="n">
        <v>12</v>
      </c>
      <c r="H26" s="43" t="n">
        <f aca="false">F26/G26</f>
        <v>23.3333333333333</v>
      </c>
      <c r="I26" s="44" t="n">
        <f aca="false">C26*G26*30</f>
        <v>5400</v>
      </c>
      <c r="J26" s="45" t="n">
        <f aca="false">E26+G26*K26</f>
        <v>210</v>
      </c>
      <c r="K26" s="42" t="n">
        <v>5</v>
      </c>
    </row>
    <row r="27" customFormat="false" ht="15" hidden="false" customHeight="false" outlineLevel="0" collapsed="false">
      <c r="A27" s="32" t="s">
        <v>162</v>
      </c>
      <c r="B27" s="32" t="s">
        <v>163</v>
      </c>
      <c r="C27" s="33" t="n">
        <v>8</v>
      </c>
      <c r="D27" s="34" t="s">
        <v>164</v>
      </c>
      <c r="E27" s="35" t="n">
        <v>150</v>
      </c>
      <c r="F27" s="34" t="n">
        <v>280</v>
      </c>
      <c r="G27" s="35" t="n">
        <v>12</v>
      </c>
      <c r="H27" s="36" t="n">
        <f aca="false">F27/G27</f>
        <v>23.3333333333333</v>
      </c>
      <c r="I27" s="37" t="n">
        <f aca="false">C27*G27*30</f>
        <v>2880</v>
      </c>
      <c r="J27" s="38" t="n">
        <f aca="false">E27+G27*K27</f>
        <v>186</v>
      </c>
      <c r="K27" s="35" t="n">
        <v>3</v>
      </c>
    </row>
    <row r="28" customFormat="false" ht="15" hidden="false" customHeight="false" outlineLevel="0" collapsed="false">
      <c r="A28" s="39" t="s">
        <v>165</v>
      </c>
      <c r="B28" s="39" t="s">
        <v>166</v>
      </c>
      <c r="C28" s="40" t="n">
        <v>5</v>
      </c>
      <c r="D28" s="41" t="s">
        <v>167</v>
      </c>
      <c r="E28" s="42" t="n">
        <v>200</v>
      </c>
      <c r="F28" s="41" t="n">
        <v>350</v>
      </c>
      <c r="G28" s="42" t="n">
        <v>15</v>
      </c>
      <c r="H28" s="43" t="n">
        <f aca="false">F28/G28</f>
        <v>23.3333333333333</v>
      </c>
      <c r="I28" s="44" t="n">
        <f aca="false">C28*G28*30</f>
        <v>2250</v>
      </c>
      <c r="J28" s="45" t="n">
        <f aca="false">E28+G28*K28</f>
        <v>245</v>
      </c>
      <c r="K28" s="42" t="n">
        <v>3</v>
      </c>
    </row>
    <row r="29" customFormat="false" ht="15" hidden="false" customHeight="false" outlineLevel="0" collapsed="false">
      <c r="A29" s="32" t="s">
        <v>168</v>
      </c>
      <c r="B29" s="32" t="s">
        <v>169</v>
      </c>
      <c r="C29" s="33" t="n">
        <v>45</v>
      </c>
      <c r="D29" s="34" t="s">
        <v>170</v>
      </c>
      <c r="E29" s="35" t="n">
        <v>100</v>
      </c>
      <c r="F29" s="34" t="n">
        <v>180</v>
      </c>
      <c r="G29" s="35" t="n">
        <v>8</v>
      </c>
      <c r="H29" s="36" t="n">
        <f aca="false">F29/G29</f>
        <v>22.5</v>
      </c>
      <c r="I29" s="37" t="n">
        <f aca="false">C29*G29*30</f>
        <v>10800</v>
      </c>
      <c r="J29" s="38" t="n">
        <f aca="false">E29+G29*K29</f>
        <v>140</v>
      </c>
      <c r="K29" s="35" t="n">
        <v>5</v>
      </c>
    </row>
    <row r="30" customFormat="false" ht="15" hidden="false" customHeight="false" outlineLevel="0" collapsed="false">
      <c r="A30" s="39" t="s">
        <v>171</v>
      </c>
      <c r="B30" s="39" t="s">
        <v>172</v>
      </c>
      <c r="C30" s="40" t="n">
        <v>120</v>
      </c>
      <c r="D30" s="41" t="s">
        <v>173</v>
      </c>
      <c r="E30" s="42" t="n">
        <v>80</v>
      </c>
      <c r="F30" s="41" t="n">
        <v>140</v>
      </c>
      <c r="G30" s="42" t="n">
        <v>6</v>
      </c>
      <c r="H30" s="43" t="n">
        <f aca="false">F30/G30</f>
        <v>23.3333333333333</v>
      </c>
      <c r="I30" s="44" t="n">
        <f aca="false">C30*G30*30</f>
        <v>21600</v>
      </c>
      <c r="J30" s="45" t="n">
        <f aca="false">E30+G30*K30</f>
        <v>104</v>
      </c>
      <c r="K30" s="42" t="n">
        <v>4</v>
      </c>
    </row>
    <row r="31" customFormat="false" ht="15" hidden="false" customHeight="false" outlineLevel="0" collapsed="false">
      <c r="A31" s="32" t="s">
        <v>174</v>
      </c>
      <c r="B31" s="32" t="s">
        <v>175</v>
      </c>
      <c r="C31" s="33" t="n">
        <v>280</v>
      </c>
      <c r="D31" s="34" t="s">
        <v>173</v>
      </c>
      <c r="E31" s="35" t="n">
        <v>60</v>
      </c>
      <c r="F31" s="34" t="n">
        <v>110</v>
      </c>
      <c r="G31" s="35" t="n">
        <v>5</v>
      </c>
      <c r="H31" s="36" t="n">
        <f aca="false">F31/G31</f>
        <v>22</v>
      </c>
      <c r="I31" s="37" t="n">
        <f aca="false">C31*G31*30</f>
        <v>42000</v>
      </c>
      <c r="J31" s="38" t="n">
        <f aca="false">E31+G31*K31</f>
        <v>85</v>
      </c>
      <c r="K31" s="35" t="n">
        <v>5</v>
      </c>
    </row>
    <row r="32" customFormat="false" ht="15" hidden="false" customHeight="false" outlineLevel="0" collapsed="false">
      <c r="A32" s="39" t="s">
        <v>176</v>
      </c>
      <c r="B32" s="39" t="s">
        <v>177</v>
      </c>
      <c r="C32" s="40" t="n">
        <v>5</v>
      </c>
      <c r="D32" s="41" t="s">
        <v>178</v>
      </c>
      <c r="E32" s="42" t="n">
        <v>180</v>
      </c>
      <c r="F32" s="41" t="n">
        <v>320</v>
      </c>
      <c r="G32" s="42" t="n">
        <v>14</v>
      </c>
      <c r="H32" s="43" t="n">
        <f aca="false">F32/G32</f>
        <v>22.8571428571429</v>
      </c>
      <c r="I32" s="44" t="n">
        <f aca="false">C32*G32*30</f>
        <v>2100</v>
      </c>
      <c r="J32" s="45" t="n">
        <f aca="false">E32+G32*K32</f>
        <v>236</v>
      </c>
      <c r="K32" s="42" t="n">
        <v>4</v>
      </c>
    </row>
    <row r="33" customFormat="false" ht="15" hidden="false" customHeight="false" outlineLevel="0" collapsed="false">
      <c r="A33" s="32" t="s">
        <v>179</v>
      </c>
      <c r="B33" s="32" t="s">
        <v>180</v>
      </c>
      <c r="C33" s="33" t="n">
        <v>12</v>
      </c>
      <c r="D33" s="34" t="s">
        <v>181</v>
      </c>
      <c r="E33" s="35" t="n">
        <v>150</v>
      </c>
      <c r="F33" s="34" t="n">
        <v>280</v>
      </c>
      <c r="G33" s="35" t="n">
        <v>12</v>
      </c>
      <c r="H33" s="36" t="n">
        <f aca="false">F33/G33</f>
        <v>23.3333333333333</v>
      </c>
      <c r="I33" s="37" t="n">
        <f aca="false">C33*G33*30</f>
        <v>4320</v>
      </c>
      <c r="J33" s="38" t="n">
        <f aca="false">E33+G33*K33</f>
        <v>210</v>
      </c>
      <c r="K33" s="35" t="n">
        <v>5</v>
      </c>
    </row>
    <row r="34" customFormat="false" ht="15" hidden="false" customHeight="false" outlineLevel="0" collapsed="false">
      <c r="A34" s="39" t="s">
        <v>182</v>
      </c>
      <c r="B34" s="39" t="s">
        <v>183</v>
      </c>
      <c r="C34" s="40" t="n">
        <v>25</v>
      </c>
      <c r="D34" s="41" t="s">
        <v>184</v>
      </c>
      <c r="E34" s="42" t="n">
        <v>100</v>
      </c>
      <c r="F34" s="41" t="n">
        <v>180</v>
      </c>
      <c r="G34" s="42" t="n">
        <v>8</v>
      </c>
      <c r="H34" s="43" t="n">
        <f aca="false">F34/G34</f>
        <v>22.5</v>
      </c>
      <c r="I34" s="44" t="n">
        <f aca="false">C34*G34*30</f>
        <v>6000</v>
      </c>
      <c r="J34" s="45" t="n">
        <f aca="false">E34+G34*K34</f>
        <v>140</v>
      </c>
      <c r="K34" s="42" t="n">
        <v>5</v>
      </c>
    </row>
    <row r="35" customFormat="false" ht="15" hidden="false" customHeight="false" outlineLevel="0" collapsed="false">
      <c r="A35" s="32" t="s">
        <v>185</v>
      </c>
      <c r="B35" s="32" t="s">
        <v>186</v>
      </c>
      <c r="C35" s="33" t="n">
        <v>45</v>
      </c>
      <c r="D35" s="34" t="s">
        <v>184</v>
      </c>
      <c r="E35" s="35" t="n">
        <v>80</v>
      </c>
      <c r="F35" s="34" t="n">
        <v>140</v>
      </c>
      <c r="G35" s="35" t="n">
        <v>6</v>
      </c>
      <c r="H35" s="36" t="n">
        <f aca="false">F35/G35</f>
        <v>23.3333333333333</v>
      </c>
      <c r="I35" s="37" t="n">
        <f aca="false">C35*G35*30</f>
        <v>8100</v>
      </c>
      <c r="J35" s="38" t="n">
        <f aca="false">E35+G35*K35</f>
        <v>104</v>
      </c>
      <c r="K35" s="35" t="n">
        <v>4</v>
      </c>
    </row>
    <row r="36" customFormat="false" ht="15" hidden="false" customHeight="false" outlineLevel="0" collapsed="false">
      <c r="A36" s="39" t="s">
        <v>187</v>
      </c>
      <c r="B36" s="39" t="s">
        <v>188</v>
      </c>
      <c r="C36" s="40" t="n">
        <v>35</v>
      </c>
      <c r="D36" s="41" t="s">
        <v>189</v>
      </c>
      <c r="E36" s="42" t="n">
        <v>100</v>
      </c>
      <c r="F36" s="41" t="n">
        <v>180</v>
      </c>
      <c r="G36" s="42" t="n">
        <v>8</v>
      </c>
      <c r="H36" s="43" t="n">
        <f aca="false">F36/G36</f>
        <v>22.5</v>
      </c>
      <c r="I36" s="44" t="n">
        <f aca="false">C36*G36*30</f>
        <v>8400</v>
      </c>
      <c r="J36" s="45" t="n">
        <f aca="false">E36+G36*K36</f>
        <v>140</v>
      </c>
      <c r="K36" s="42" t="n">
        <v>5</v>
      </c>
    </row>
    <row r="37" customFormat="false" ht="15" hidden="false" customHeight="false" outlineLevel="0" collapsed="false">
      <c r="A37" s="32" t="s">
        <v>190</v>
      </c>
      <c r="B37" s="32" t="s">
        <v>191</v>
      </c>
      <c r="C37" s="33" t="n">
        <v>55</v>
      </c>
      <c r="D37" s="34" t="s">
        <v>189</v>
      </c>
      <c r="E37" s="35" t="n">
        <v>80</v>
      </c>
      <c r="F37" s="34" t="n">
        <v>140</v>
      </c>
      <c r="G37" s="35" t="n">
        <v>6</v>
      </c>
      <c r="H37" s="36" t="n">
        <f aca="false">F37/G37</f>
        <v>23.3333333333333</v>
      </c>
      <c r="I37" s="37" t="n">
        <f aca="false">C37*G37*30</f>
        <v>9900</v>
      </c>
      <c r="J37" s="38" t="n">
        <f aca="false">E37+G37*K37</f>
        <v>110</v>
      </c>
      <c r="K37" s="35" t="n">
        <v>5</v>
      </c>
    </row>
    <row r="38" customFormat="false" ht="15" hidden="false" customHeight="false" outlineLevel="0" collapsed="false">
      <c r="A38" s="39" t="s">
        <v>192</v>
      </c>
      <c r="B38" s="39" t="s">
        <v>193</v>
      </c>
      <c r="C38" s="40" t="n">
        <v>3</v>
      </c>
      <c r="D38" s="41" t="s">
        <v>194</v>
      </c>
      <c r="E38" s="42" t="n">
        <v>300</v>
      </c>
      <c r="F38" s="41" t="n">
        <v>500</v>
      </c>
      <c r="G38" s="42" t="n">
        <v>20</v>
      </c>
      <c r="H38" s="43" t="n">
        <f aca="false">F38/G38</f>
        <v>25</v>
      </c>
      <c r="I38" s="44" t="n">
        <f aca="false">C38*G38*30</f>
        <v>1800</v>
      </c>
      <c r="J38" s="45" t="n">
        <f aca="false">E38+G38*K38</f>
        <v>360</v>
      </c>
      <c r="K38" s="42" t="n">
        <v>3</v>
      </c>
    </row>
    <row r="39" customFormat="false" ht="15" hidden="false" customHeight="false" outlineLevel="0" collapsed="false">
      <c r="A39" s="32" t="s">
        <v>195</v>
      </c>
      <c r="B39" s="32" t="s">
        <v>196</v>
      </c>
      <c r="C39" s="33" t="n">
        <v>180</v>
      </c>
      <c r="D39" s="34" t="s">
        <v>197</v>
      </c>
      <c r="E39" s="35" t="n">
        <v>40</v>
      </c>
      <c r="F39" s="34" t="n">
        <v>70</v>
      </c>
      <c r="G39" s="35" t="n">
        <v>3</v>
      </c>
      <c r="H39" s="36" t="n">
        <f aca="false">F39/G39</f>
        <v>23.3333333333333</v>
      </c>
      <c r="I39" s="37" t="n">
        <f aca="false">C39*G39*30</f>
        <v>16200</v>
      </c>
      <c r="J39" s="38" t="n">
        <f aca="false">E39+G39*K39</f>
        <v>55</v>
      </c>
      <c r="K39" s="35" t="n">
        <v>5</v>
      </c>
    </row>
    <row r="41" customFormat="false" ht="15" hidden="false" customHeight="false" outlineLevel="0" collapsed="false">
      <c r="A41" s="46" t="s">
        <v>198</v>
      </c>
      <c r="B41" s="46"/>
      <c r="C41" s="46"/>
      <c r="D41" s="46"/>
      <c r="E41" s="46"/>
      <c r="F41" s="46"/>
      <c r="G41" s="46"/>
      <c r="H41" s="46"/>
      <c r="I41" s="47" t="n">
        <f aca="false">SUM(I5:I21)</f>
        <v>809400</v>
      </c>
    </row>
    <row r="42" customFormat="false" ht="15" hidden="false" customHeight="false" outlineLevel="0" collapsed="false">
      <c r="A42" s="46" t="s">
        <v>199</v>
      </c>
      <c r="B42" s="46"/>
      <c r="C42" s="46"/>
      <c r="D42" s="46"/>
      <c r="E42" s="46"/>
      <c r="F42" s="46"/>
      <c r="G42" s="46"/>
      <c r="H42" s="46"/>
      <c r="I42" s="47" t="n">
        <f aca="false">SUM(I22:I26)</f>
        <v>44880</v>
      </c>
    </row>
    <row r="43" customFormat="false" ht="15" hidden="false" customHeight="false" outlineLevel="0" collapsed="false">
      <c r="A43" s="46" t="s">
        <v>200</v>
      </c>
      <c r="B43" s="46"/>
      <c r="C43" s="46"/>
      <c r="D43" s="46"/>
      <c r="E43" s="46"/>
      <c r="F43" s="46"/>
      <c r="G43" s="46"/>
      <c r="H43" s="46"/>
      <c r="I43" s="47" t="n">
        <f aca="false">SUM(I27:I31)</f>
        <v>79530</v>
      </c>
    </row>
    <row r="44" customFormat="false" ht="15" hidden="false" customHeight="false" outlineLevel="0" collapsed="false">
      <c r="A44" s="46" t="s">
        <v>201</v>
      </c>
      <c r="B44" s="46"/>
      <c r="C44" s="46"/>
      <c r="D44" s="46"/>
      <c r="E44" s="46"/>
      <c r="F44" s="46"/>
      <c r="G44" s="46"/>
      <c r="H44" s="46"/>
      <c r="I44" s="47" t="n">
        <f aca="false">SUM(I32:I35)</f>
        <v>20520</v>
      </c>
    </row>
    <row r="45" customFormat="false" ht="15" hidden="false" customHeight="false" outlineLevel="0" collapsed="false">
      <c r="A45" s="46" t="s">
        <v>202</v>
      </c>
      <c r="B45" s="46"/>
      <c r="C45" s="46"/>
      <c r="D45" s="46"/>
      <c r="E45" s="46"/>
      <c r="F45" s="46"/>
      <c r="G45" s="46"/>
      <c r="H45" s="46"/>
      <c r="I45" s="47" t="n">
        <f aca="false">SUM(I36:I39)</f>
        <v>36300</v>
      </c>
    </row>
    <row r="48" customFormat="false" ht="15" hidden="false" customHeight="false" outlineLevel="0" collapsed="false">
      <c r="A48" s="48" t="s">
        <v>203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</row>
    <row r="49" customFormat="false" ht="15" hidden="false" customHeight="false" outlineLevel="0" collapsed="false">
      <c r="A49" s="16" t="s">
        <v>204</v>
      </c>
      <c r="B49" s="13" t="n">
        <f aca="false">SUM(I5:I39)</f>
        <v>990630</v>
      </c>
    </row>
    <row r="50" customFormat="false" ht="15" hidden="false" customHeight="false" outlineLevel="0" collapsed="false">
      <c r="A50" s="16" t="s">
        <v>205</v>
      </c>
      <c r="B50" s="13" t="n">
        <f aca="false">B49*1.2</f>
        <v>1188756</v>
      </c>
    </row>
    <row r="51" customFormat="false" ht="15" hidden="false" customHeight="false" outlineLevel="0" collapsed="false">
      <c r="A51" s="16" t="s">
        <v>206</v>
      </c>
      <c r="B51" s="13" t="n">
        <f aca="false">B49*12</f>
        <v>11887560</v>
      </c>
    </row>
  </sheetData>
  <mergeCells count="8">
    <mergeCell ref="A1:K1"/>
    <mergeCell ref="A2:K2"/>
    <mergeCell ref="A41:H41"/>
    <mergeCell ref="A42:H42"/>
    <mergeCell ref="A43:H43"/>
    <mergeCell ref="A44:H44"/>
    <mergeCell ref="A45:H45"/>
    <mergeCell ref="A48:K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2026-02-23T08:58:30Z</dcterms:created>
  <dc:creator>openpyxl</dc:creator>
  <dc:description/>
  <dc:language>en-US</dc:language>
  <cp:lastModifiedBy/>
  <dcterms:modified xsi:type="dcterms:W3CDTF">2026-02-23T08:58:30Z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